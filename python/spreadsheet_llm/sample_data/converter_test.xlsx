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(Clean)" sheetId="1" state="visible" r:id="rId3"/>
    <sheet name="Merged &amp; Multiline" sheetId="2" state="visible" r:id="rId4"/>
    <sheet name="Formulas &amp; XRef" sheetId="3" state="visible" r:id="rId5"/>
    <sheet name="Ragged &amp; Gaps" sheetId="4" state="visible" r:id="rId6"/>
    <sheet name="Types &amp; Formats" sheetId="5" state="visible" r:id="rId7"/>
    <sheet name="Unicode &amp; CJK" sheetId="6" state="visible" r:id="rId8"/>
    <sheet name="Hidden Stuff" sheetId="7" state="visible" r:id="rId9"/>
    <sheet name="Zzz Hidden Sheet" sheetId="8" state="hidden" r:id="rId10"/>
    <sheet name="Wide Table" sheetId="9" state="visible" r:id="rId11"/>
    <sheet name="Empty Shee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This is the header row comment: Name field is free text, max 100 chars.</t>
        </r>
      </text>
    </comment>
    <comment ref="C3" authorId="0">
      <text>
        <r>
          <rPr>
            <sz val="10"/>
            <rFont val="Arial"/>
            <family val="2"/>
          </rPr>
          <t xml:space="preserve">Status changed from Active to Inactive on 2026-06-15 pending review.</t>
        </r>
      </text>
    </comment>
  </commentList>
</comments>
</file>

<file path=xl/sharedStrings.xml><?xml version="1.0" encoding="utf-8"?>
<sst xmlns="http://schemas.openxmlformats.org/spreadsheetml/2006/main" count="193" uniqueCount="174">
  <si>
    <t xml:space="preserve">Region</t>
  </si>
  <si>
    <t xml:space="preserve">Rep</t>
  </si>
  <si>
    <t xml:space="preserve">Product</t>
  </si>
  <si>
    <t xml:space="preserve">Units</t>
  </si>
  <si>
    <t xml:space="preserve">Unit Price</t>
  </si>
  <si>
    <t xml:space="preserve">Revenue</t>
  </si>
  <si>
    <t xml:space="preserve">Discount %</t>
  </si>
  <si>
    <t xml:space="preserve">Net Revenue</t>
  </si>
  <si>
    <t xml:space="preserve">North</t>
  </si>
  <si>
    <t xml:space="preserve">Alice Chen</t>
  </si>
  <si>
    <t xml:space="preserve">Widget A</t>
  </si>
  <si>
    <t xml:space="preserve">Widget B</t>
  </si>
  <si>
    <t xml:space="preserve">South</t>
  </si>
  <si>
    <t xml:space="preserve">Bob Diaz</t>
  </si>
  <si>
    <t xml:space="preserve">Widget C</t>
  </si>
  <si>
    <t xml:space="preserve">East</t>
  </si>
  <si>
    <t xml:space="preserve">Carol Wu</t>
  </si>
  <si>
    <t xml:space="preserve">West</t>
  </si>
  <si>
    <t xml:space="preserve">Dev Patel</t>
  </si>
  <si>
    <t xml:space="preserve">Widget D</t>
  </si>
  <si>
    <t xml:space="preserve">TOTAL</t>
  </si>
  <si>
    <t xml:space="preserve">Q3 Regional Performance Summary</t>
  </si>
  <si>
    <t xml:space="preserve">Region / Team</t>
  </si>
  <si>
    <t xml:space="preserve">Highlights</t>
  </si>
  <si>
    <t xml:space="preserve">APAC</t>
  </si>
  <si>
    <t xml:space="preserve">Growth Team</t>
  </si>
  <si>
    <t xml:space="preserve">Launched in 3 new markets.
Customer count up 40% YoY.
Key hire: new country manager for Japan.</t>
  </si>
  <si>
    <t xml:space="preserve">EMEA</t>
  </si>
  <si>
    <t xml:space="preserve">Enterprise</t>
  </si>
  <si>
    <t xml:space="preserve">Renewed two flagship accounts.
Churn flat at 2%.</t>
  </si>
  <si>
    <t xml:space="preserve">AMER</t>
  </si>
  <si>
    <t xml:space="preserve">SMB</t>
  </si>
  <si>
    <t xml:space="preserve">Self-serve signups doubled after
pricing page redesign shipped in July.</t>
  </si>
  <si>
    <t xml:space="preserve">Approved by:
Finance &amp; Ops
(joint sign-off)</t>
  </si>
  <si>
    <t xml:space="preserve">Date:</t>
  </si>
  <si>
    <t xml:space="preserve">Metric</t>
  </si>
  <si>
    <t xml:space="preserve">Value</t>
  </si>
  <si>
    <t xml:space="preserve">Total Net Revenue (from Sales sheet)</t>
  </si>
  <si>
    <t xml:space="preserve">West Region Revenue (SUMIFS)</t>
  </si>
  <si>
    <t xml:space="preserve">Unit Price for Widget C (INDEX/MATCH)</t>
  </si>
  <si>
    <t xml:space="preserve">Average Discount</t>
  </si>
  <si>
    <t xml:space="preserve">Bogus Ratio (intentional #DIV/0!)</t>
  </si>
  <si>
    <t xml:space="preserve">Nested IF grade</t>
  </si>
  <si>
    <t xml:space="preserve">Concatenated label (_xlfn.TEXTJOIN)</t>
  </si>
  <si>
    <t xml:space="preserve">Inventory Snapshot (unofficial, taken mid-month)</t>
  </si>
  <si>
    <t xml:space="preserve">SKU</t>
  </si>
  <si>
    <t xml:space="preserve">Warehouse</t>
  </si>
  <si>
    <t xml:space="preserve">Qty</t>
  </si>
  <si>
    <t xml:space="preserve">Reorder?</t>
  </si>
  <si>
    <t xml:space="preserve">SKU-001</t>
  </si>
  <si>
    <t xml:space="preserve">Main</t>
  </si>
  <si>
    <t xml:space="preserve">Yes</t>
  </si>
  <si>
    <t xml:space="preserve">SKU-002</t>
  </si>
  <si>
    <t xml:space="preserve">No</t>
  </si>
  <si>
    <t xml:space="preserve">SKU-004</t>
  </si>
  <si>
    <t xml:space="preserve">Overflow</t>
  </si>
  <si>
    <t xml:space="preserve">extra-note-in-wrong-column</t>
  </si>
  <si>
    <t xml:space="preserve">SKU-005</t>
  </si>
  <si>
    <t xml:space="preserve">Orphan note: audit pending, see email from 2026-06-30</t>
  </si>
  <si>
    <t xml:space="preserve">Field</t>
  </si>
  <si>
    <t xml:space="preserve">Notes</t>
  </si>
  <si>
    <t xml:space="preserve">Plain integer</t>
  </si>
  <si>
    <t xml:space="preserve">Float</t>
  </si>
  <si>
    <t xml:space="preserve">Currency (USD)</t>
  </si>
  <si>
    <t xml:space="preserve">fmt $#,##0.00</t>
  </si>
  <si>
    <t xml:space="preserve">Currency (JPY, no decimals)</t>
  </si>
  <si>
    <t xml:space="preserve">fmt ¥#,##0</t>
  </si>
  <si>
    <t xml:space="preserve">Percent</t>
  </si>
  <si>
    <t xml:space="preserve">fmt 0.00%</t>
  </si>
  <si>
    <t xml:space="preserve">Negative, parens style</t>
  </si>
  <si>
    <t xml:space="preserve">fmt #,##0;(#,##0)</t>
  </si>
  <si>
    <t xml:space="preserve">Scientific notation</t>
  </si>
  <si>
    <t xml:space="preserve">fmt 0.00E+00</t>
  </si>
  <si>
    <t xml:space="preserve">Date (short)</t>
  </si>
  <si>
    <t xml:space="preserve">fmt yyyy-mm-dd</t>
  </si>
  <si>
    <t xml:space="preserve">Date (long text form)</t>
  </si>
  <si>
    <t xml:space="preserve">December 25, 2026</t>
  </si>
  <si>
    <t xml:space="preserve">stored as text, not a real date</t>
  </si>
  <si>
    <t xml:space="preserve">Time</t>
  </si>
  <si>
    <t xml:space="preserve">fmt HH:MM</t>
  </si>
  <si>
    <t xml:space="preserve">Datetime</t>
  </si>
  <si>
    <t xml:space="preserve">fmt yyyy-mm-dd HH:MM</t>
  </si>
  <si>
    <t xml:space="preserve">Boolean TRUE</t>
  </si>
  <si>
    <t xml:space="preserve">Boolean FALSE</t>
  </si>
  <si>
    <t xml:space="preserve">Text that looks like a number</t>
  </si>
  <si>
    <t xml:space="preserve">007</t>
  </si>
  <si>
    <t xml:space="preserve">leading zeros, stored as text</t>
  </si>
  <si>
    <t xml:space="preserve">Phone-like text</t>
  </si>
  <si>
    <t xml:space="preserve">+1 (555) 123-4567</t>
  </si>
  <si>
    <t xml:space="preserve">stored as text</t>
  </si>
  <si>
    <t xml:space="preserve">Formula returning text</t>
  </si>
  <si>
    <t xml:space="preserve">Very long text field</t>
  </si>
  <si>
    <t xml:space="preserve">This is a deliberately long single-cell text value meant to test whether the converter truncates, wraps, or otherwise mishandles cells that contain multiple sentences of prose rather than a short label. It keeps going for a while to make sure any length limits get exercised.</t>
  </si>
  <si>
    <t xml:space="preserve">Empty string vs blank</t>
  </si>
  <si>
    <t xml:space="preserve">this cell holds '' not None</t>
  </si>
  <si>
    <t xml:space="preserve">Zero</t>
  </si>
  <si>
    <t xml:space="preserve">fmt $#,##0;($#,##0);-  should render as -</t>
  </si>
  <si>
    <t xml:space="preserve">Fraction format</t>
  </si>
  <si>
    <t xml:space="preserve">fmt # ?/?</t>
  </si>
  <si>
    <r>
      <rPr>
        <b val="true"/>
        <sz val="11"/>
        <color rgb="FFFFFFFF"/>
        <rFont val="Noto Sans CJK SC"/>
        <family val="2"/>
      </rPr>
      <t xml:space="preserve">言語 </t>
    </r>
    <r>
      <rPr>
        <b val="true"/>
        <sz val="11"/>
        <color rgb="FFFFFFFF"/>
        <rFont val="Arial"/>
        <family val="0"/>
        <charset val="1"/>
      </rPr>
      <t xml:space="preserve">/ Language</t>
    </r>
  </si>
  <si>
    <r>
      <rPr>
        <b val="true"/>
        <sz val="11"/>
        <color rgb="FFFFFFFF"/>
        <rFont val="Noto Sans CJK SC"/>
        <family val="2"/>
      </rPr>
      <t xml:space="preserve">サンプルテキスト </t>
    </r>
    <r>
      <rPr>
        <b val="true"/>
        <sz val="11"/>
        <color rgb="FFFFFFFF"/>
        <rFont val="Arial"/>
        <family val="0"/>
        <charset val="1"/>
      </rPr>
      <t xml:space="preserve">/ Sample</t>
    </r>
  </si>
  <si>
    <r>
      <rPr>
        <b val="true"/>
        <sz val="11"/>
        <color rgb="FFFFFFFF"/>
        <rFont val="Noto Sans CJK SC"/>
        <family val="2"/>
      </rPr>
      <t xml:space="preserve">備考 </t>
    </r>
    <r>
      <rPr>
        <b val="true"/>
        <sz val="11"/>
        <color rgb="FFFFFFFF"/>
        <rFont val="Arial"/>
        <family val="0"/>
        <charset val="1"/>
      </rPr>
      <t xml:space="preserve">/ Notes</t>
    </r>
  </si>
  <si>
    <t xml:space="preserve">日本語</t>
  </si>
  <si>
    <r>
      <rPr>
        <sz val="11"/>
        <color theme="1"/>
        <rFont val="Noto Sans CJK SC"/>
        <family val="2"/>
      </rPr>
      <t xml:space="preserve">納品書の確認をお願いいたします。振込先は三菱</t>
    </r>
    <r>
      <rPr>
        <sz val="11"/>
        <color theme="1"/>
        <rFont val="Calibri"/>
        <family val="2"/>
        <charset val="1"/>
      </rPr>
      <t xml:space="preserve">UFJ</t>
    </r>
    <r>
      <rPr>
        <sz val="11"/>
        <color theme="1"/>
        <rFont val="Noto Sans CJK SC"/>
        <family val="2"/>
      </rPr>
      <t xml:space="preserve">銀行です。</t>
    </r>
  </si>
  <si>
    <t xml:space="preserve">Japanese business/banking phrasing</t>
  </si>
  <si>
    <t xml:space="preserve">中文（简体）</t>
  </si>
  <si>
    <t xml:space="preserve">请查收本季度的销售报告，谢谢。</t>
  </si>
  <si>
    <t xml:space="preserve">Simplified Chinese</t>
  </si>
  <si>
    <t xml:space="preserve">한국어</t>
  </si>
  <si>
    <r>
      <rPr>
        <sz val="11"/>
        <color theme="1"/>
        <rFont val="Noto Sans CJK SC"/>
        <family val="2"/>
      </rPr>
      <t xml:space="preserve">이번 분기 매출 보고서를 확인해 주세요</t>
    </r>
    <r>
      <rPr>
        <sz val="11"/>
        <color theme="1"/>
        <rFont val="Calibri"/>
        <family val="2"/>
        <charset val="1"/>
      </rPr>
      <t xml:space="preserve">.</t>
    </r>
  </si>
  <si>
    <t xml:space="preserve">Korean</t>
  </si>
  <si>
    <t xml:space="preserve">العربية</t>
  </si>
  <si>
    <r>
      <rPr>
        <sz val="11"/>
        <color theme="1"/>
        <rFont val="FreeSans"/>
        <family val="2"/>
      </rPr>
      <t xml:space="preserve">يرجى مراجعة تقرير المبيعات لهذا الربع</t>
    </r>
    <r>
      <rPr>
        <sz val="11"/>
        <color theme="1"/>
        <rFont val="Calibri"/>
        <family val="2"/>
        <charset val="1"/>
      </rPr>
      <t xml:space="preserve">.</t>
    </r>
  </si>
  <si>
    <t xml:space="preserve">Arabic, right-to-left script</t>
  </si>
  <si>
    <t xml:space="preserve">Emoji stress</t>
  </si>
  <si>
    <t xml:space="preserve">🚀📈✅ Q3 targets hit! 🎉 (see 📎 attachment)</t>
  </si>
  <si>
    <t xml:space="preserve">Emoji + mixed ASCII</t>
  </si>
  <si>
    <t xml:space="preserve">Mixed width</t>
  </si>
  <si>
    <r>
      <rPr>
        <sz val="11"/>
        <color theme="1"/>
        <rFont val="Calibri"/>
        <family val="2"/>
        <charset val="1"/>
      </rPr>
      <t xml:space="preserve">ABC</t>
    </r>
    <r>
      <rPr>
        <sz val="11"/>
        <color theme="1"/>
        <rFont val="Noto Sans CJK SC"/>
        <family val="2"/>
      </rPr>
      <t xml:space="preserve">－１２３－あいう－ｶﾀｶﾅ</t>
    </r>
  </si>
  <si>
    <t xml:space="preserve">full-width/half-width mix</t>
  </si>
  <si>
    <t xml:space="preserve">Combining marks</t>
  </si>
  <si>
    <t xml:space="preserve">café naïve résumé Zürich</t>
  </si>
  <si>
    <t xml:space="preserve">accented Latin</t>
  </si>
  <si>
    <t xml:space="preserve">Currency symbols</t>
  </si>
  <si>
    <t xml:space="preserve">¥1,000 / €850 / £700 / ₩1,200,000</t>
  </si>
  <si>
    <t xml:space="preserve">multi-currency text</t>
  </si>
  <si>
    <t xml:space="preserve">ID</t>
  </si>
  <si>
    <t xml:space="preserve">Name</t>
  </si>
  <si>
    <t xml:space="preserve">Status</t>
  </si>
  <si>
    <t xml:space="preserve">Secret Column</t>
  </si>
  <si>
    <t xml:space="preserve">Score</t>
  </si>
  <si>
    <t xml:space="preserve">Visible Row One</t>
  </si>
  <si>
    <t xml:space="preserve">Active</t>
  </si>
  <si>
    <t xml:space="preserve">n/a</t>
  </si>
  <si>
    <t xml:space="preserve">This Row Is Hidden</t>
  </si>
  <si>
    <t xml:space="preserve">Inactive</t>
  </si>
  <si>
    <t xml:space="preserve">shh</t>
  </si>
  <si>
    <t xml:space="preserve">Visible Row Two</t>
  </si>
  <si>
    <t xml:space="preserve">Also Hidden</t>
  </si>
  <si>
    <t xml:space="preserve">Pending</t>
  </si>
  <si>
    <t xml:space="preserve">If your converter surfaces this, it's reading hidden sheets too.</t>
  </si>
  <si>
    <t xml:space="preserve">Week01</t>
  </si>
  <si>
    <t xml:space="preserve">Week02</t>
  </si>
  <si>
    <t xml:space="preserve">Week03</t>
  </si>
  <si>
    <t xml:space="preserve">Week04</t>
  </si>
  <si>
    <t xml:space="preserve">Week05</t>
  </si>
  <si>
    <t xml:space="preserve">Week06</t>
  </si>
  <si>
    <t xml:space="preserve">Week07</t>
  </si>
  <si>
    <t xml:space="preserve">Week08</t>
  </si>
  <si>
    <t xml:space="preserve">Week09</t>
  </si>
  <si>
    <t xml:space="preserve">Week10</t>
  </si>
  <si>
    <t xml:space="preserve">Week11</t>
  </si>
  <si>
    <t xml:space="preserve">Week12</t>
  </si>
  <si>
    <t xml:space="preserve">Week13</t>
  </si>
  <si>
    <t xml:space="preserve">Week14</t>
  </si>
  <si>
    <t xml:space="preserve">Week15</t>
  </si>
  <si>
    <t xml:space="preserve">Week16</t>
  </si>
  <si>
    <t xml:space="preserve">Week17</t>
  </si>
  <si>
    <t xml:space="preserve">Week18</t>
  </si>
  <si>
    <t xml:space="preserve">Week19</t>
  </si>
  <si>
    <t xml:space="preserve">Week20</t>
  </si>
  <si>
    <t xml:space="preserve">Week21</t>
  </si>
  <si>
    <t xml:space="preserve">Week22</t>
  </si>
  <si>
    <t xml:space="preserve">Week23</t>
  </si>
  <si>
    <t xml:space="preserve">Week24</t>
  </si>
  <si>
    <t xml:space="preserve">Week25</t>
  </si>
  <si>
    <t xml:space="preserve">Week26</t>
  </si>
  <si>
    <t xml:space="preserve">Week27</t>
  </si>
  <si>
    <t xml:space="preserve">Week28</t>
  </si>
  <si>
    <t xml:space="preserve">Week29</t>
  </si>
  <si>
    <t xml:space="preserve">Week30</t>
  </si>
  <si>
    <t xml:space="preserve">Week31</t>
  </si>
  <si>
    <t xml:space="preserve">Week32</t>
  </si>
  <si>
    <t xml:space="preserve">Total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</si>
</sst>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"/>
    <numFmt numFmtId="166" formatCode="0.0%"/>
    <numFmt numFmtId="167" formatCode="yyyy\-mm\-dd"/>
    <numFmt numFmtId="168" formatCode="0.00%"/>
    <numFmt numFmtId="169" formatCode="\¥#,##0"/>
    <numFmt numFmtId="170" formatCode="#,##0;\(#,##0\)"/>
    <numFmt numFmtId="171" formatCode="0.00E+00"/>
    <numFmt numFmtId="172" formatCode="hh:mm"/>
    <numFmt numFmtId="173" formatCode="yyyy\-mm\-dd\ hh:mm"/>
    <numFmt numFmtId="174" formatCode="General"/>
    <numFmt numFmtId="175" formatCode="\$#,##0;&quot;($&quot;#,##0\);\-"/>
    <numFmt numFmtId="176" formatCode="# ?/?"/>
    <numFmt numFmtId="177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sz val="11"/>
      <color theme="1"/>
      <name val="FreeSan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3" t="n">
        <v>120</v>
      </c>
      <c r="E2" s="4" t="n">
        <v>19.99</v>
      </c>
      <c r="F2" s="5" t="n">
        <f aca="false">D2*E2</f>
        <v>2398.8</v>
      </c>
      <c r="G2" s="6" t="n">
        <v>0.05</v>
      </c>
      <c r="H2" s="5" t="n">
        <f aca="false">F2*(1-G2)</f>
        <v>2278.86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11</v>
      </c>
      <c r="D3" s="3" t="n">
        <v>80</v>
      </c>
      <c r="E3" s="4" t="n">
        <v>24.5</v>
      </c>
      <c r="F3" s="5" t="n">
        <f aca="false">D3*E3</f>
        <v>1960</v>
      </c>
      <c r="G3" s="6" t="n">
        <v>0</v>
      </c>
      <c r="H3" s="5" t="n">
        <f aca="false">F3*(1-G3)</f>
        <v>1960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10</v>
      </c>
      <c r="D4" s="3" t="n">
        <v>45</v>
      </c>
      <c r="E4" s="4" t="n">
        <v>19.99</v>
      </c>
      <c r="F4" s="5" t="n">
        <f aca="false">D4*E4</f>
        <v>899.55</v>
      </c>
      <c r="G4" s="6" t="n">
        <v>0.1</v>
      </c>
      <c r="H4" s="5" t="n">
        <f aca="false">F4*(1-G4)</f>
        <v>809.595</v>
      </c>
    </row>
    <row r="5" customFormat="false" ht="15" hidden="false" customHeight="false" outlineLevel="0" collapsed="false">
      <c r="A5" s="2" t="s">
        <v>12</v>
      </c>
      <c r="B5" s="2" t="s">
        <v>13</v>
      </c>
      <c r="C5" s="2" t="s">
        <v>14</v>
      </c>
      <c r="D5" s="3" t="n">
        <v>200</v>
      </c>
      <c r="E5" s="4" t="n">
        <v>5.75</v>
      </c>
      <c r="F5" s="5" t="n">
        <f aca="false">D5*E5</f>
        <v>1150</v>
      </c>
      <c r="G5" s="6" t="n">
        <v>0.02</v>
      </c>
      <c r="H5" s="5" t="n">
        <f aca="false">F5*(1-G5)</f>
        <v>1127</v>
      </c>
    </row>
    <row r="6" customFormat="false" ht="15" hidden="false" customHeight="false" outlineLevel="0" collapsed="false">
      <c r="A6" s="2" t="s">
        <v>15</v>
      </c>
      <c r="B6" s="2" t="s">
        <v>16</v>
      </c>
      <c r="C6" s="2" t="s">
        <v>11</v>
      </c>
      <c r="D6" s="3" t="n">
        <v>60</v>
      </c>
      <c r="E6" s="4" t="n">
        <v>24.5</v>
      </c>
      <c r="F6" s="5" t="n">
        <f aca="false">D6*E6</f>
        <v>1470</v>
      </c>
      <c r="G6" s="6" t="n">
        <v>0</v>
      </c>
      <c r="H6" s="5" t="n">
        <f aca="false">F6*(1-G6)</f>
        <v>1470</v>
      </c>
    </row>
    <row r="7" customFormat="false" ht="15" hidden="false" customHeight="false" outlineLevel="0" collapsed="false">
      <c r="A7" s="2" t="s">
        <v>15</v>
      </c>
      <c r="B7" s="2" t="s">
        <v>16</v>
      </c>
      <c r="C7" s="2" t="s">
        <v>14</v>
      </c>
      <c r="D7" s="3" t="n">
        <v>15</v>
      </c>
      <c r="E7" s="4" t="n">
        <v>5.75</v>
      </c>
      <c r="F7" s="5" t="n">
        <f aca="false">D7*E7</f>
        <v>86.25</v>
      </c>
      <c r="G7" s="6" t="n">
        <v>0</v>
      </c>
      <c r="H7" s="5" t="n">
        <f aca="false">F7*(1-G7)</f>
        <v>86.25</v>
      </c>
    </row>
    <row r="8" customFormat="false" ht="15" hidden="false" customHeight="false" outlineLevel="0" collapsed="false">
      <c r="A8" s="2" t="s">
        <v>17</v>
      </c>
      <c r="B8" s="2" t="s">
        <v>18</v>
      </c>
      <c r="C8" s="2" t="s">
        <v>10</v>
      </c>
      <c r="D8" s="3" t="n">
        <v>300</v>
      </c>
      <c r="E8" s="4" t="n">
        <v>19.99</v>
      </c>
      <c r="F8" s="5" t="n">
        <f aca="false">D8*E8</f>
        <v>5997</v>
      </c>
      <c r="G8" s="6" t="n">
        <v>0.15</v>
      </c>
      <c r="H8" s="5" t="n">
        <f aca="false">F8*(1-G8)</f>
        <v>5097.45</v>
      </c>
    </row>
    <row r="9" customFormat="false" ht="15" hidden="false" customHeight="false" outlineLevel="0" collapsed="false">
      <c r="A9" s="2" t="s">
        <v>17</v>
      </c>
      <c r="B9" s="2" t="s">
        <v>18</v>
      </c>
      <c r="C9" s="2" t="s">
        <v>19</v>
      </c>
      <c r="D9" s="3" t="n">
        <v>10</v>
      </c>
      <c r="E9" s="4" t="n">
        <v>199</v>
      </c>
      <c r="F9" s="5" t="n">
        <f aca="false">D9*E9</f>
        <v>1990</v>
      </c>
      <c r="G9" s="6" t="n">
        <v>0</v>
      </c>
      <c r="H9" s="5" t="n">
        <f aca="false">F9*(1-G9)</f>
        <v>1990</v>
      </c>
    </row>
    <row r="10" customFormat="false" ht="15" hidden="false" customHeight="false" outlineLevel="0" collapsed="false">
      <c r="C10" s="7" t="s">
        <v>20</v>
      </c>
      <c r="F10" s="8" t="n">
        <f aca="false">SUM(F2:F9)</f>
        <v>15951.6</v>
      </c>
      <c r="H10" s="8" t="n">
        <f aca="false">SUM(H2:H9)</f>
        <v>14819.155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9" t="s">
        <v>21</v>
      </c>
      <c r="B1" s="9"/>
      <c r="C1" s="9"/>
      <c r="D1" s="9"/>
    </row>
    <row r="2" customFormat="false" ht="15" hidden="false" customHeight="false" outlineLevel="0" collapsed="false">
      <c r="A2" s="10" t="s">
        <v>22</v>
      </c>
      <c r="B2" s="10"/>
      <c r="C2" s="10" t="s">
        <v>23</v>
      </c>
      <c r="D2" s="10"/>
    </row>
    <row r="3" customFormat="false" ht="45" hidden="false" customHeight="true" outlineLevel="0" collapsed="false">
      <c r="A3" s="11" t="s">
        <v>24</v>
      </c>
      <c r="B3" s="11" t="s">
        <v>25</v>
      </c>
      <c r="C3" s="12" t="s">
        <v>26</v>
      </c>
      <c r="D3" s="12"/>
    </row>
    <row r="4" customFormat="false" ht="45" hidden="false" customHeight="true" outlineLevel="0" collapsed="false">
      <c r="A4" s="11" t="s">
        <v>27</v>
      </c>
      <c r="B4" s="11" t="s">
        <v>28</v>
      </c>
      <c r="C4" s="12" t="s">
        <v>29</v>
      </c>
      <c r="D4" s="12"/>
    </row>
    <row r="5" customFormat="false" ht="45" hidden="false" customHeight="true" outlineLevel="0" collapsed="false">
      <c r="A5" s="11" t="s">
        <v>30</v>
      </c>
      <c r="B5" s="11" t="s">
        <v>31</v>
      </c>
      <c r="C5" s="12" t="s">
        <v>32</v>
      </c>
      <c r="D5" s="12"/>
    </row>
    <row r="7" customFormat="false" ht="15" hidden="false" customHeight="true" outlineLevel="0" collapsed="false">
      <c r="A7" s="13" t="s">
        <v>33</v>
      </c>
      <c r="B7" s="13"/>
      <c r="C7" s="14" t="s">
        <v>34</v>
      </c>
      <c r="D7" s="15" t="n">
        <v>46204</v>
      </c>
    </row>
    <row r="8" customFormat="false" ht="15" hidden="false" customHeight="false" outlineLevel="0" collapsed="false">
      <c r="A8" s="13"/>
      <c r="B8" s="13"/>
    </row>
  </sheetData>
  <mergeCells count="7">
    <mergeCell ref="A1:D1"/>
    <mergeCell ref="A2:B2"/>
    <mergeCell ref="C2:D2"/>
    <mergeCell ref="C3:D3"/>
    <mergeCell ref="C4:D4"/>
    <mergeCell ref="C5:D5"/>
    <mergeCell ref="A7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6" t="s">
        <v>35</v>
      </c>
      <c r="B1" s="16" t="s">
        <v>36</v>
      </c>
    </row>
    <row r="2" customFormat="false" ht="15" hidden="false" customHeight="false" outlineLevel="0" collapsed="false">
      <c r="A2" s="0" t="s">
        <v>37</v>
      </c>
      <c r="B2" s="17" t="n">
        <f aca="false">'Sales (Clean)'!H10</f>
        <v>14819.155</v>
      </c>
    </row>
    <row r="3" customFormat="false" ht="15" hidden="false" customHeight="false" outlineLevel="0" collapsed="false">
      <c r="A3" s="0" t="s">
        <v>38</v>
      </c>
      <c r="B3" s="17" t="n">
        <f aca="false">SUMIFS('Sales (Clean)'!F2:F9,'Sales (Clean)'!A2:A9,"West")</f>
        <v>7987</v>
      </c>
    </row>
    <row r="4" customFormat="false" ht="15" hidden="false" customHeight="false" outlineLevel="0" collapsed="false">
      <c r="A4" s="0" t="s">
        <v>39</v>
      </c>
      <c r="B4" s="17" t="n">
        <f aca="false">INDEX('Sales (Clean)'!E2:E9,MATCH("Widget C",'Sales (Clean)'!C2:C9,0))</f>
        <v>5.75</v>
      </c>
    </row>
    <row r="5" customFormat="false" ht="15" hidden="false" customHeight="false" outlineLevel="0" collapsed="false">
      <c r="A5" s="0" t="s">
        <v>40</v>
      </c>
      <c r="B5" s="18" t="n">
        <f aca="false">AVERAGE('Sales (Clean)'!G2:G9)</f>
        <v>0.04</v>
      </c>
    </row>
    <row r="6" customFormat="false" ht="15" hidden="false" customHeight="false" outlineLevel="0" collapsed="false">
      <c r="A6" s="0" t="s">
        <v>41</v>
      </c>
      <c r="B6" s="0" t="e">
        <f aca="false">B2/(B2-B2)</f>
        <v>#DIV/0!</v>
      </c>
    </row>
    <row r="7" customFormat="false" ht="15" hidden="false" customHeight="false" outlineLevel="0" collapsed="false">
      <c r="A7" s="0" t="s">
        <v>42</v>
      </c>
      <c r="B7" s="0" t="str">
        <f aca="false">IF(B3&gt;1000,"High",IF(B3&gt;500,"Medium","Low"))</f>
        <v>High</v>
      </c>
    </row>
    <row r="8" customFormat="false" ht="15" hidden="false" customHeight="false" outlineLevel="0" collapsed="false">
      <c r="A8" s="0" t="s">
        <v>43</v>
      </c>
      <c r="B8" s="0" t="str">
        <f aca="false">_xlfn.TEXTJOIN(" | ",TRUE(),A2,A3,A4)</f>
        <v>Total Net Revenue (from Sales sheet) | West Region Revenue (SUMIFS) | Unit Price for Widget C (INDEX/MATCH)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B2" s="19" t="s">
        <v>44</v>
      </c>
    </row>
    <row r="4" customFormat="false" ht="15" hidden="false" customHeight="false" outlineLevel="0" collapsed="false">
      <c r="B4" s="0" t="s">
        <v>45</v>
      </c>
      <c r="C4" s="0" t="s">
        <v>46</v>
      </c>
      <c r="E4" s="0" t="s">
        <v>47</v>
      </c>
      <c r="F4" s="0" t="s">
        <v>48</v>
      </c>
    </row>
    <row r="5" customFormat="false" ht="15" hidden="false" customHeight="false" outlineLevel="0" collapsed="false">
      <c r="B5" s="0" t="s">
        <v>49</v>
      </c>
      <c r="C5" s="0" t="s">
        <v>50</v>
      </c>
      <c r="E5" s="0" t="n">
        <v>12</v>
      </c>
      <c r="F5" s="0" t="s">
        <v>51</v>
      </c>
    </row>
    <row r="6" customFormat="false" ht="15" hidden="false" customHeight="false" outlineLevel="0" collapsed="false">
      <c r="B6" s="0" t="s">
        <v>52</v>
      </c>
    </row>
    <row r="7" customFormat="false" ht="15" hidden="false" customHeight="false" outlineLevel="0" collapsed="false">
      <c r="C7" s="0" t="s">
        <v>50</v>
      </c>
      <c r="E7" s="0" t="n">
        <v>300</v>
      </c>
      <c r="F7" s="0" t="s">
        <v>53</v>
      </c>
    </row>
    <row r="8" customFormat="false" ht="15" hidden="false" customHeight="false" outlineLevel="0" collapsed="false">
      <c r="B8" s="0" t="s">
        <v>54</v>
      </c>
      <c r="C8" s="0" t="s">
        <v>55</v>
      </c>
      <c r="D8" s="0" t="s">
        <v>56</v>
      </c>
      <c r="E8" s="0" t="n">
        <v>0</v>
      </c>
      <c r="F8" s="0" t="s">
        <v>51</v>
      </c>
    </row>
    <row r="9" customFormat="false" ht="15" hidden="false" customHeight="false" outlineLevel="0" collapsed="false">
      <c r="B9" s="0" t="s">
        <v>57</v>
      </c>
      <c r="C9" s="0" t="s">
        <v>50</v>
      </c>
      <c r="E9" s="0" t="n">
        <v>45</v>
      </c>
    </row>
    <row r="20" customFormat="false" ht="15" hidden="false" customHeight="false" outlineLevel="0" collapsed="false">
      <c r="J20" s="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16" t="s">
        <v>59</v>
      </c>
      <c r="B1" s="16" t="s">
        <v>36</v>
      </c>
      <c r="C1" s="16" t="s">
        <v>60</v>
      </c>
    </row>
    <row r="2" customFormat="false" ht="15" hidden="false" customHeight="false" outlineLevel="0" collapsed="false">
      <c r="A2" s="0" t="s">
        <v>61</v>
      </c>
      <c r="B2" s="20" t="n">
        <v>42</v>
      </c>
    </row>
    <row r="3" customFormat="false" ht="15" hidden="false" customHeight="false" outlineLevel="0" collapsed="false">
      <c r="A3" s="0" t="s">
        <v>62</v>
      </c>
      <c r="B3" s="20" t="n">
        <v>3.14159</v>
      </c>
    </row>
    <row r="4" customFormat="false" ht="15" hidden="false" customHeight="false" outlineLevel="0" collapsed="false">
      <c r="A4" s="0" t="s">
        <v>63</v>
      </c>
      <c r="B4" s="21" t="n">
        <v>1234.5</v>
      </c>
      <c r="C4" s="14" t="s">
        <v>64</v>
      </c>
    </row>
    <row r="5" customFormat="false" ht="15" hidden="false" customHeight="false" outlineLevel="0" collapsed="false">
      <c r="A5" s="0" t="s">
        <v>65</v>
      </c>
      <c r="B5" s="22" t="n">
        <v>150000</v>
      </c>
      <c r="C5" s="14" t="s">
        <v>66</v>
      </c>
    </row>
    <row r="6" customFormat="false" ht="15" hidden="false" customHeight="false" outlineLevel="0" collapsed="false">
      <c r="A6" s="0" t="s">
        <v>67</v>
      </c>
      <c r="B6" s="23" t="n">
        <v>0.0725</v>
      </c>
      <c r="C6" s="14" t="s">
        <v>68</v>
      </c>
    </row>
    <row r="7" customFormat="false" ht="15" hidden="false" customHeight="false" outlineLevel="0" collapsed="false">
      <c r="A7" s="0" t="s">
        <v>69</v>
      </c>
      <c r="B7" s="24" t="n">
        <v>-500</v>
      </c>
      <c r="C7" s="14" t="s">
        <v>70</v>
      </c>
    </row>
    <row r="8" customFormat="false" ht="15" hidden="false" customHeight="false" outlineLevel="0" collapsed="false">
      <c r="A8" s="0" t="s">
        <v>71</v>
      </c>
      <c r="B8" s="25" t="n">
        <v>6.022E+023</v>
      </c>
      <c r="C8" s="14" t="s">
        <v>72</v>
      </c>
    </row>
    <row r="9" customFormat="false" ht="15" hidden="false" customHeight="false" outlineLevel="0" collapsed="false">
      <c r="A9" s="0" t="s">
        <v>73</v>
      </c>
      <c r="B9" s="26" t="n">
        <v>46381</v>
      </c>
      <c r="C9" s="14" t="s">
        <v>74</v>
      </c>
    </row>
    <row r="10" customFormat="false" ht="15" hidden="false" customHeight="false" outlineLevel="0" collapsed="false">
      <c r="A10" s="0" t="s">
        <v>75</v>
      </c>
      <c r="B10" s="20" t="s">
        <v>76</v>
      </c>
      <c r="C10" s="14" t="s">
        <v>77</v>
      </c>
    </row>
    <row r="11" customFormat="false" ht="15" hidden="false" customHeight="false" outlineLevel="0" collapsed="false">
      <c r="A11" s="0" t="s">
        <v>78</v>
      </c>
      <c r="B11" s="27" t="n">
        <v>0.604166666666667</v>
      </c>
      <c r="C11" s="14" t="s">
        <v>79</v>
      </c>
    </row>
    <row r="12" customFormat="false" ht="15" hidden="false" customHeight="false" outlineLevel="0" collapsed="false">
      <c r="A12" s="0" t="s">
        <v>80</v>
      </c>
      <c r="B12" s="28" t="n">
        <v>46214.3854166667</v>
      </c>
      <c r="C12" s="14" t="s">
        <v>81</v>
      </c>
    </row>
    <row r="13" customFormat="false" ht="15" hidden="false" customHeight="false" outlineLevel="0" collapsed="false">
      <c r="A13" s="0" t="s">
        <v>82</v>
      </c>
      <c r="B13" s="29" t="b">
        <f aca="false">TRUE()</f>
        <v>1</v>
      </c>
    </row>
    <row r="14" customFormat="false" ht="15" hidden="false" customHeight="false" outlineLevel="0" collapsed="false">
      <c r="A14" s="0" t="s">
        <v>83</v>
      </c>
      <c r="B14" s="29" t="b">
        <f aca="false">FALSE()</f>
        <v>0</v>
      </c>
    </row>
    <row r="15" customFormat="false" ht="15" hidden="false" customHeight="false" outlineLevel="0" collapsed="false">
      <c r="A15" s="0" t="s">
        <v>84</v>
      </c>
      <c r="B15" s="20" t="s">
        <v>85</v>
      </c>
      <c r="C15" s="14" t="s">
        <v>86</v>
      </c>
    </row>
    <row r="16" customFormat="false" ht="15" hidden="false" customHeight="false" outlineLevel="0" collapsed="false">
      <c r="A16" s="0" t="s">
        <v>87</v>
      </c>
      <c r="B16" s="20" t="s">
        <v>88</v>
      </c>
      <c r="C16" s="14" t="s">
        <v>89</v>
      </c>
    </row>
    <row r="17" customFormat="false" ht="15" hidden="false" customHeight="false" outlineLevel="0" collapsed="false">
      <c r="A17" s="0" t="s">
        <v>90</v>
      </c>
      <c r="B17" s="20" t="str">
        <f aca="false">CONCATENATE("Row ",ROW())</f>
        <v>Row 17</v>
      </c>
    </row>
    <row r="18" customFormat="false" ht="15" hidden="false" customHeight="false" outlineLevel="0" collapsed="false">
      <c r="A18" s="0" t="s">
        <v>91</v>
      </c>
      <c r="B18" s="20" t="s">
        <v>92</v>
      </c>
    </row>
    <row r="19" customFormat="false" ht="15" hidden="false" customHeight="false" outlineLevel="0" collapsed="false">
      <c r="A19" s="0" t="s">
        <v>93</v>
      </c>
      <c r="B19" s="20"/>
      <c r="C19" s="14" t="s">
        <v>94</v>
      </c>
    </row>
    <row r="20" customFormat="false" ht="15" hidden="false" customHeight="false" outlineLevel="0" collapsed="false">
      <c r="A20" s="0" t="s">
        <v>95</v>
      </c>
      <c r="B20" s="30" t="n">
        <v>0</v>
      </c>
      <c r="C20" s="14" t="s">
        <v>96</v>
      </c>
    </row>
    <row r="21" customFormat="false" ht="15" hidden="false" customHeight="false" outlineLevel="0" collapsed="false">
      <c r="A21" s="0" t="s">
        <v>97</v>
      </c>
      <c r="B21" s="31" t="n">
        <v>0.5</v>
      </c>
      <c r="C21" s="14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3" min="3" style="0" width="35"/>
  </cols>
  <sheetData>
    <row r="1" customFormat="false" ht="17.15" hidden="false" customHeight="false" outlineLevel="0" collapsed="false">
      <c r="A1" s="32" t="s">
        <v>99</v>
      </c>
      <c r="B1" s="32" t="s">
        <v>100</v>
      </c>
      <c r="C1" s="32" t="s">
        <v>101</v>
      </c>
    </row>
    <row r="2" customFormat="false" ht="17.15" hidden="false" customHeight="false" outlineLevel="0" collapsed="false">
      <c r="A2" s="33" t="s">
        <v>102</v>
      </c>
      <c r="B2" s="33" t="s">
        <v>103</v>
      </c>
      <c r="C2" s="0" t="s">
        <v>104</v>
      </c>
    </row>
    <row r="3" customFormat="false" ht="15" hidden="false" customHeight="false" outlineLevel="0" collapsed="false">
      <c r="A3" s="33" t="s">
        <v>105</v>
      </c>
      <c r="B3" s="33" t="s">
        <v>106</v>
      </c>
      <c r="C3" s="0" t="s">
        <v>107</v>
      </c>
    </row>
    <row r="4" customFormat="false" ht="17.15" hidden="false" customHeight="false" outlineLevel="0" collapsed="false">
      <c r="A4" s="33" t="s">
        <v>108</v>
      </c>
      <c r="B4" s="33" t="s">
        <v>109</v>
      </c>
      <c r="C4" s="0" t="s">
        <v>110</v>
      </c>
    </row>
    <row r="5" customFormat="false" ht="15" hidden="false" customHeight="false" outlineLevel="0" collapsed="false">
      <c r="A5" s="34" t="s">
        <v>111</v>
      </c>
      <c r="B5" s="34" t="s">
        <v>112</v>
      </c>
      <c r="C5" s="0" t="s">
        <v>113</v>
      </c>
    </row>
    <row r="6" customFormat="false" ht="15" hidden="false" customHeight="false" outlineLevel="0" collapsed="false">
      <c r="A6" s="0" t="s">
        <v>114</v>
      </c>
      <c r="B6" s="0" t="s">
        <v>115</v>
      </c>
      <c r="C6" s="0" t="s">
        <v>116</v>
      </c>
    </row>
    <row r="7" customFormat="false" ht="17.15" hidden="false" customHeight="false" outlineLevel="0" collapsed="false">
      <c r="A7" s="0" t="s">
        <v>117</v>
      </c>
      <c r="B7" s="0" t="s">
        <v>118</v>
      </c>
      <c r="C7" s="0" t="s">
        <v>119</v>
      </c>
    </row>
    <row r="8" customFormat="false" ht="15" hidden="false" customHeight="false" outlineLevel="0" collapsed="false">
      <c r="A8" s="0" t="s">
        <v>120</v>
      </c>
      <c r="B8" s="0" t="s">
        <v>121</v>
      </c>
      <c r="C8" s="0" t="s">
        <v>122</v>
      </c>
    </row>
    <row r="9" customFormat="false" ht="15" hidden="false" customHeight="false" outlineLevel="0" collapsed="false">
      <c r="A9" s="0" t="s">
        <v>123</v>
      </c>
      <c r="B9" s="0" t="s">
        <v>124</v>
      </c>
      <c r="C9" s="0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true" outlineLevel="0" max="4" min="4" style="0" width="14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6" t="s">
        <v>126</v>
      </c>
      <c r="B1" s="16" t="s">
        <v>127</v>
      </c>
      <c r="C1" s="16" t="s">
        <v>128</v>
      </c>
      <c r="D1" s="16" t="s">
        <v>129</v>
      </c>
      <c r="E1" s="16" t="s">
        <v>130</v>
      </c>
    </row>
    <row r="2" customFormat="false" ht="15" hidden="false" customHeight="false" outlineLevel="0" collapsed="false">
      <c r="A2" s="0" t="n">
        <v>1</v>
      </c>
      <c r="B2" s="0" t="s">
        <v>131</v>
      </c>
      <c r="C2" s="0" t="s">
        <v>132</v>
      </c>
      <c r="D2" s="0" t="s">
        <v>133</v>
      </c>
      <c r="E2" s="0" t="n">
        <v>88</v>
      </c>
    </row>
    <row r="3" customFormat="false" ht="15" hidden="true" customHeight="false" outlineLevel="0" collapsed="false">
      <c r="A3" s="0" t="n">
        <v>2</v>
      </c>
      <c r="B3" s="0" t="s">
        <v>134</v>
      </c>
      <c r="C3" s="0" t="s">
        <v>135</v>
      </c>
      <c r="D3" s="0" t="s">
        <v>136</v>
      </c>
      <c r="E3" s="0" t="n">
        <v>42</v>
      </c>
    </row>
    <row r="4" customFormat="false" ht="15" hidden="false" customHeight="false" outlineLevel="0" collapsed="false">
      <c r="A4" s="0" t="n">
        <v>3</v>
      </c>
      <c r="B4" s="0" t="s">
        <v>137</v>
      </c>
      <c r="C4" s="0" t="s">
        <v>132</v>
      </c>
      <c r="D4" s="0" t="s">
        <v>133</v>
      </c>
      <c r="E4" s="0" t="n">
        <v>95</v>
      </c>
    </row>
    <row r="5" customFormat="false" ht="15" hidden="true" customHeight="false" outlineLevel="0" collapsed="false">
      <c r="A5" s="0" t="n">
        <v>4</v>
      </c>
      <c r="B5" s="0" t="s">
        <v>138</v>
      </c>
      <c r="C5" s="0" t="s">
        <v>139</v>
      </c>
      <c r="D5" s="0" t="s">
        <v>136</v>
      </c>
      <c r="E5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6" t="s">
        <v>141</v>
      </c>
      <c r="B1" s="16" t="s">
        <v>142</v>
      </c>
      <c r="C1" s="16" t="s">
        <v>143</v>
      </c>
      <c r="D1" s="16" t="s">
        <v>144</v>
      </c>
      <c r="E1" s="16" t="s">
        <v>145</v>
      </c>
      <c r="F1" s="16" t="s">
        <v>146</v>
      </c>
      <c r="G1" s="16" t="s">
        <v>147</v>
      </c>
      <c r="H1" s="16" t="s">
        <v>148</v>
      </c>
      <c r="I1" s="16" t="s">
        <v>149</v>
      </c>
      <c r="J1" s="16" t="s">
        <v>150</v>
      </c>
      <c r="K1" s="16" t="s">
        <v>151</v>
      </c>
      <c r="L1" s="16" t="s">
        <v>152</v>
      </c>
      <c r="M1" s="16" t="s">
        <v>153</v>
      </c>
      <c r="N1" s="16" t="s">
        <v>154</v>
      </c>
      <c r="O1" s="16" t="s">
        <v>155</v>
      </c>
      <c r="P1" s="16" t="s">
        <v>156</v>
      </c>
      <c r="Q1" s="16" t="s">
        <v>157</v>
      </c>
      <c r="R1" s="16" t="s">
        <v>158</v>
      </c>
      <c r="S1" s="16" t="s">
        <v>159</v>
      </c>
      <c r="T1" s="16" t="s">
        <v>160</v>
      </c>
      <c r="U1" s="16" t="s">
        <v>161</v>
      </c>
      <c r="V1" s="16" t="s">
        <v>162</v>
      </c>
      <c r="W1" s="16" t="s">
        <v>163</v>
      </c>
      <c r="X1" s="16" t="s">
        <v>164</v>
      </c>
      <c r="Y1" s="16" t="s">
        <v>165</v>
      </c>
      <c r="Z1" s="16" t="s">
        <v>166</v>
      </c>
      <c r="AA1" s="16" t="s">
        <v>167</v>
      </c>
      <c r="AB1" s="16" t="s">
        <v>168</v>
      </c>
      <c r="AC1" s="16" t="s">
        <v>169</v>
      </c>
      <c r="AD1" s="16" t="s">
        <v>170</v>
      </c>
      <c r="AE1" s="16" t="s">
        <v>171</v>
      </c>
      <c r="AF1" s="16" t="s">
        <v>172</v>
      </c>
      <c r="AG1" s="16" t="s">
        <v>173</v>
      </c>
    </row>
    <row r="2" customFormat="false" ht="15" hidden="false" customHeight="false" outlineLevel="0" collapsed="false">
      <c r="A2" s="0" t="n">
        <v>337.74</v>
      </c>
      <c r="B2" s="0" t="n">
        <v>61.25</v>
      </c>
      <c r="C2" s="0" t="n">
        <v>173.76</v>
      </c>
      <c r="D2" s="0" t="n">
        <v>150.44</v>
      </c>
      <c r="E2" s="0" t="n">
        <v>381.41</v>
      </c>
      <c r="F2" s="0" t="n">
        <v>354.51</v>
      </c>
      <c r="G2" s="0" t="n">
        <v>451.48</v>
      </c>
      <c r="H2" s="0" t="n">
        <v>89.12</v>
      </c>
      <c r="I2" s="0" t="n">
        <v>239.86</v>
      </c>
      <c r="J2" s="0" t="n">
        <v>63.41</v>
      </c>
      <c r="K2" s="0" t="n">
        <v>148.39</v>
      </c>
      <c r="L2" s="0" t="n">
        <v>277.41</v>
      </c>
      <c r="M2" s="0" t="n">
        <v>61.94</v>
      </c>
      <c r="N2" s="0" t="n">
        <v>139.48</v>
      </c>
      <c r="O2" s="0" t="n">
        <v>342.45</v>
      </c>
      <c r="P2" s="0" t="n">
        <v>295.22</v>
      </c>
      <c r="Q2" s="0" t="n">
        <v>149.2</v>
      </c>
      <c r="R2" s="0" t="n">
        <v>315.17</v>
      </c>
      <c r="S2" s="0" t="n">
        <v>414.24</v>
      </c>
      <c r="T2" s="0" t="n">
        <v>52.92</v>
      </c>
      <c r="U2" s="0" t="n">
        <v>412.62</v>
      </c>
      <c r="V2" s="0" t="n">
        <v>364.16</v>
      </c>
      <c r="W2" s="0" t="n">
        <v>203.11</v>
      </c>
      <c r="X2" s="0" t="n">
        <v>119.97</v>
      </c>
      <c r="Y2" s="0" t="n">
        <v>480.75</v>
      </c>
      <c r="Z2" s="0" t="n">
        <v>201.47</v>
      </c>
      <c r="AA2" s="0" t="n">
        <v>91.74</v>
      </c>
      <c r="AB2" s="0" t="n">
        <v>93.52</v>
      </c>
      <c r="AC2" s="0" t="n">
        <v>431.37</v>
      </c>
      <c r="AD2" s="0" t="n">
        <v>321.68</v>
      </c>
      <c r="AE2" s="0" t="n">
        <v>413.21</v>
      </c>
      <c r="AF2" s="0" t="n">
        <v>378.38</v>
      </c>
      <c r="AG2" s="35" t="n">
        <f aca="false">SUM(A2:AF2)</f>
        <v>8011.38</v>
      </c>
    </row>
    <row r="3" customFormat="false" ht="15" hidden="false" customHeight="false" outlineLevel="0" collapsed="false">
      <c r="A3" s="0" t="n">
        <v>291.3</v>
      </c>
      <c r="B3" s="0" t="n">
        <v>487.9</v>
      </c>
      <c r="C3" s="0" t="n">
        <v>220.34</v>
      </c>
      <c r="D3" s="0" t="n">
        <v>298.42</v>
      </c>
      <c r="E3" s="0" t="n">
        <v>423.23</v>
      </c>
      <c r="F3" s="0" t="n">
        <v>328.33</v>
      </c>
      <c r="G3" s="0" t="n">
        <v>437.77</v>
      </c>
      <c r="H3" s="0" t="n">
        <v>309.81</v>
      </c>
      <c r="I3" s="0" t="n">
        <v>367.06</v>
      </c>
      <c r="J3" s="0" t="n">
        <v>70.62</v>
      </c>
      <c r="K3" s="0" t="n">
        <v>152.55</v>
      </c>
      <c r="L3" s="0" t="n">
        <v>180.22</v>
      </c>
      <c r="M3" s="0" t="n">
        <v>85.91</v>
      </c>
      <c r="N3" s="0" t="n">
        <v>154.76</v>
      </c>
      <c r="O3" s="0" t="n">
        <v>95.45</v>
      </c>
      <c r="P3" s="0" t="n">
        <v>175.09</v>
      </c>
      <c r="Q3" s="0" t="n">
        <v>336.06</v>
      </c>
      <c r="R3" s="0" t="n">
        <v>214.17</v>
      </c>
      <c r="S3" s="0" t="n">
        <v>216.58</v>
      </c>
      <c r="T3" s="0" t="n">
        <v>144.28</v>
      </c>
      <c r="U3" s="0" t="n">
        <v>170.14</v>
      </c>
      <c r="V3" s="0" t="n">
        <v>471.49</v>
      </c>
      <c r="W3" s="0" t="n">
        <v>341.62</v>
      </c>
      <c r="X3" s="0" t="n">
        <v>324.11</v>
      </c>
      <c r="Y3" s="0" t="n">
        <v>127.01</v>
      </c>
      <c r="Z3" s="0" t="n">
        <v>378.11</v>
      </c>
      <c r="AA3" s="0" t="n">
        <v>123.53</v>
      </c>
      <c r="AB3" s="0" t="n">
        <v>220.75</v>
      </c>
      <c r="AC3" s="0" t="n">
        <v>495.29</v>
      </c>
      <c r="AD3" s="0" t="n">
        <v>338</v>
      </c>
      <c r="AE3" s="0" t="n">
        <v>300.63</v>
      </c>
      <c r="AF3" s="0" t="n">
        <v>358.08</v>
      </c>
      <c r="AG3" s="35" t="n">
        <f aca="false">SUM(A3:AF3)</f>
        <v>8638.61</v>
      </c>
    </row>
    <row r="4" customFormat="false" ht="15" hidden="false" customHeight="false" outlineLevel="0" collapsed="false">
      <c r="A4" s="0" t="n">
        <v>429.28</v>
      </c>
      <c r="B4" s="0" t="n">
        <v>399.2</v>
      </c>
      <c r="C4" s="0" t="n">
        <v>153.07</v>
      </c>
      <c r="D4" s="0" t="n">
        <v>64.45</v>
      </c>
      <c r="E4" s="0" t="n">
        <v>191.95</v>
      </c>
      <c r="F4" s="0" t="n">
        <v>170.48</v>
      </c>
      <c r="G4" s="0" t="n">
        <v>144.94</v>
      </c>
      <c r="H4" s="0" t="n">
        <v>474.31</v>
      </c>
      <c r="I4" s="0" t="n">
        <v>444.37</v>
      </c>
      <c r="J4" s="0" t="n">
        <v>191.61</v>
      </c>
      <c r="K4" s="0" t="n">
        <v>344.95</v>
      </c>
      <c r="L4" s="0" t="n">
        <v>228.03</v>
      </c>
      <c r="M4" s="0" t="n">
        <v>461.55</v>
      </c>
      <c r="N4" s="0" t="n">
        <v>256.48</v>
      </c>
      <c r="O4" s="0" t="n">
        <v>169.2</v>
      </c>
      <c r="P4" s="0" t="n">
        <v>160.98</v>
      </c>
      <c r="Q4" s="0" t="n">
        <v>302.62</v>
      </c>
      <c r="R4" s="0" t="n">
        <v>168.23</v>
      </c>
      <c r="S4" s="0" t="n">
        <v>313.06</v>
      </c>
      <c r="T4" s="0" t="n">
        <v>454.02</v>
      </c>
      <c r="U4" s="0" t="n">
        <v>229.73</v>
      </c>
      <c r="V4" s="0" t="n">
        <v>148.69</v>
      </c>
      <c r="W4" s="0" t="n">
        <v>498.89</v>
      </c>
      <c r="X4" s="0" t="n">
        <v>279.29</v>
      </c>
      <c r="Y4" s="0" t="n">
        <v>90.91</v>
      </c>
      <c r="Z4" s="0" t="n">
        <v>71.2</v>
      </c>
      <c r="AA4" s="0" t="n">
        <v>99.34</v>
      </c>
      <c r="AB4" s="0" t="n">
        <v>332.35</v>
      </c>
      <c r="AC4" s="0" t="n">
        <v>406.44</v>
      </c>
      <c r="AD4" s="0" t="n">
        <v>239.97</v>
      </c>
      <c r="AE4" s="0" t="n">
        <v>78.59</v>
      </c>
      <c r="AF4" s="0" t="n">
        <v>221.73</v>
      </c>
      <c r="AG4" s="35" t="n">
        <f aca="false">SUM(A4:AF4)</f>
        <v>8219.91</v>
      </c>
    </row>
    <row r="5" customFormat="false" ht="15" hidden="false" customHeight="false" outlineLevel="0" collapsed="false">
      <c r="A5" s="0" t="n">
        <v>498.25</v>
      </c>
      <c r="B5" s="0" t="n">
        <v>288.1</v>
      </c>
      <c r="C5" s="0" t="n">
        <v>486.99</v>
      </c>
      <c r="D5" s="0" t="n">
        <v>437.35</v>
      </c>
      <c r="E5" s="0" t="n">
        <v>55.17</v>
      </c>
      <c r="F5" s="0" t="n">
        <v>374.32</v>
      </c>
      <c r="G5" s="0" t="n">
        <v>356.77</v>
      </c>
      <c r="H5" s="0" t="n">
        <v>291.64</v>
      </c>
      <c r="I5" s="0" t="n">
        <v>170.07</v>
      </c>
      <c r="J5" s="0" t="n">
        <v>338.43</v>
      </c>
      <c r="K5" s="0" t="n">
        <v>100.2</v>
      </c>
      <c r="L5" s="0" t="n">
        <v>245.64</v>
      </c>
      <c r="M5" s="0" t="n">
        <v>254.18</v>
      </c>
      <c r="N5" s="0" t="n">
        <v>479.22</v>
      </c>
      <c r="O5" s="0" t="n">
        <v>444.13</v>
      </c>
      <c r="P5" s="0" t="n">
        <v>168.53</v>
      </c>
      <c r="Q5" s="0" t="n">
        <v>275.26</v>
      </c>
      <c r="R5" s="0" t="n">
        <v>130.39</v>
      </c>
      <c r="S5" s="0" t="n">
        <v>460.68</v>
      </c>
      <c r="T5" s="0" t="n">
        <v>441.73</v>
      </c>
      <c r="U5" s="0" t="n">
        <v>184.3</v>
      </c>
      <c r="V5" s="0" t="n">
        <v>337.53</v>
      </c>
      <c r="W5" s="0" t="n">
        <v>324.04</v>
      </c>
      <c r="X5" s="0" t="n">
        <v>118.78</v>
      </c>
      <c r="Y5" s="0" t="n">
        <v>393.13</v>
      </c>
      <c r="Z5" s="0" t="n">
        <v>292.72</v>
      </c>
      <c r="AA5" s="0" t="n">
        <v>400.38</v>
      </c>
      <c r="AB5" s="0" t="n">
        <v>288.66</v>
      </c>
      <c r="AC5" s="0" t="n">
        <v>50.26</v>
      </c>
      <c r="AD5" s="0" t="n">
        <v>195.87</v>
      </c>
      <c r="AE5" s="0" t="n">
        <v>58.76</v>
      </c>
      <c r="AF5" s="0" t="n">
        <v>468.09</v>
      </c>
      <c r="AG5" s="35" t="n">
        <f aca="false">SUM(A5:AF5)</f>
        <v>9409.57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2026-07-11T06:11:46Z</dcterms:created>
  <dc:creator>openpyxl</dc:creator>
  <dc:description/>
  <dc:language>en-US</dc:language>
  <cp:lastModifiedBy/>
  <dcterms:modified xsi:type="dcterms:W3CDTF">2026-07-11T06:11:46Z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